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https://comfenalcocartagena.sharepoint.com/sites/ProyectoseInnovacin/Proyectos e Innovacin/1. GESTIÓN/2026/Nueva Versión/DB SSF/Visor/"/>
    </mc:Choice>
  </mc:AlternateContent>
  <xr:revisionPtr revIDLastSave="150" documentId="8_{978BEFB8-EF59-42B0-9D0C-0B8D4C4B30F5}" xr6:coauthVersionLast="47" xr6:coauthVersionMax="47" xr10:uidLastSave="{FF778202-5F14-4E83-825A-CA81B5479E6E}"/>
  <bookViews>
    <workbookView xWindow="28680" yWindow="-120" windowWidth="29040" windowHeight="15720" xr2:uid="{00000000-000D-0000-FFFF-FFFF00000000}"/>
  </bookViews>
  <sheets>
    <sheet name="PROYECTOS" sheetId="1" r:id="rId1"/>
    <sheet name="ALCANCES" sheetId="2" r:id="rId2"/>
    <sheet name="MODIFICACIONES" sheetId="3" r:id="rId3"/>
    <sheet name="INSTRUCCIONE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T3" i="1" l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" i="1"/>
  <c r="H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" i="1"/>
  <c r="Q3" i="1" l="1"/>
  <c r="P3" i="1" s="1"/>
  <c r="Q4" i="1"/>
  <c r="P4" i="1" s="1"/>
  <c r="Q5" i="1"/>
  <c r="P5" i="1" s="1"/>
  <c r="Q6" i="1"/>
  <c r="P6" i="1" s="1"/>
  <c r="Q7" i="1"/>
  <c r="P7" i="1" s="1"/>
  <c r="Q8" i="1"/>
  <c r="P8" i="1" s="1"/>
  <c r="Q9" i="1"/>
  <c r="P9" i="1" s="1"/>
  <c r="Q10" i="1"/>
  <c r="P10" i="1" s="1"/>
  <c r="Q11" i="1"/>
  <c r="P11" i="1" s="1"/>
  <c r="Q12" i="1"/>
  <c r="P12" i="1" s="1"/>
  <c r="Q13" i="1"/>
  <c r="P13" i="1" s="1"/>
  <c r="Q14" i="1"/>
  <c r="P14" i="1" s="1"/>
  <c r="Q15" i="1"/>
  <c r="P15" i="1" s="1"/>
  <c r="Q16" i="1"/>
  <c r="P16" i="1" s="1"/>
  <c r="Q17" i="1"/>
  <c r="P17" i="1" s="1"/>
  <c r="Q18" i="1"/>
  <c r="P18" i="1" s="1"/>
  <c r="Q19" i="1"/>
  <c r="P19" i="1" s="1"/>
  <c r="Q20" i="1"/>
  <c r="P20" i="1" s="1"/>
  <c r="Q21" i="1"/>
  <c r="P21" i="1" s="1"/>
  <c r="Q22" i="1"/>
  <c r="P22" i="1" s="1"/>
  <c r="Q2" i="1"/>
  <c r="P2" i="1" s="1"/>
</calcChain>
</file>

<file path=xl/sharedStrings.xml><?xml version="1.0" encoding="utf-8"?>
<sst xmlns="http://schemas.openxmlformats.org/spreadsheetml/2006/main" count="462" uniqueCount="202">
  <si>
    <t>nombre</t>
  </si>
  <si>
    <t>codigo</t>
  </si>
  <si>
    <t>estado</t>
  </si>
  <si>
    <t>valor_total</t>
  </si>
  <si>
    <t>total_ejecutado</t>
  </si>
  <si>
    <t>ejecutado_vigencia</t>
  </si>
  <si>
    <t>presupuesto_2026</t>
  </si>
  <si>
    <t>saldo</t>
  </si>
  <si>
    <t>v2024</t>
  </si>
  <si>
    <t>v2025</t>
  </si>
  <si>
    <t>porc_ejec_vigencia</t>
  </si>
  <si>
    <t>porc_ejec_general</t>
  </si>
  <si>
    <t>porc_ejec_obra</t>
  </si>
  <si>
    <t>fecha_inicio</t>
  </si>
  <si>
    <t>fecha_fin</t>
  </si>
  <si>
    <t>dias_info</t>
  </si>
  <si>
    <t>dias_num</t>
  </si>
  <si>
    <t>lmi_2026</t>
  </si>
  <si>
    <t>lmi_ejec</t>
  </si>
  <si>
    <t>lmi_saldo</t>
  </si>
  <si>
    <t>FÉNIX - CIUDAD ESCOLAR</t>
  </si>
  <si>
    <t>CCF008-05-00008</t>
  </si>
  <si>
    <t>En ejecución</t>
  </si>
  <si>
    <t>2024-06-30</t>
  </si>
  <si>
    <t>2026-12-30</t>
  </si>
  <si>
    <t>2024-002 AMPLIACIÓN PARQUEADERO Y CANALES TAKURIKA</t>
  </si>
  <si>
    <t>CCF008-05-00016</t>
  </si>
  <si>
    <t>Finalizado</t>
  </si>
  <si>
    <t>2024-12-12</t>
  </si>
  <si>
    <t>2026-05-31</t>
  </si>
  <si>
    <t>2025-001 INCREMENTO FONDO CRÉDITO SOCIAL</t>
  </si>
  <si>
    <t>CCF008-04-00009</t>
  </si>
  <si>
    <t>2025-02-01</t>
  </si>
  <si>
    <t>2026-02-28</t>
  </si>
  <si>
    <t>2024-007 MEJORAMIENTO KIOSKO Y PISCINA NIÑOS TAKURIKA</t>
  </si>
  <si>
    <t>CCF008-05-00020</t>
  </si>
  <si>
    <t>2026-06-30</t>
  </si>
  <si>
    <t>2025-003 FINANCIACIÓN VIS PORTALES DEL RÍO ETAPA 2</t>
  </si>
  <si>
    <t>08-02-00002</t>
  </si>
  <si>
    <t>2025-004 AMPLIACIÓN SISTEMA ELÉCTRICO MAGANGUÉ</t>
  </si>
  <si>
    <t>CCF008-05-00001</t>
  </si>
  <si>
    <t>2025-10-11</t>
  </si>
  <si>
    <t>2026-07-31</t>
  </si>
  <si>
    <t>2025-005 AMPLIACIÓN SISTEMA DISTRIBUCIÓN AGUA TAKURIKA</t>
  </si>
  <si>
    <t>CCF008-05-00002</t>
  </si>
  <si>
    <t>2025-12-03</t>
  </si>
  <si>
    <t>En formulación</t>
  </si>
  <si>
    <t>2025-007 MEJORAMIENTO ZONAS DESCARGUE Y PÉRGOLAS TAKURIKA</t>
  </si>
  <si>
    <t>CCF008-05-00004</t>
  </si>
  <si>
    <t>2026-11-30</t>
  </si>
  <si>
    <t>TORRE DE SERVICIOS COMFENALCO</t>
  </si>
  <si>
    <t>N/A</t>
  </si>
  <si>
    <t/>
  </si>
  <si>
    <t>ALOJAMIENTOS TAKURIKA</t>
  </si>
  <si>
    <t>LOTE SEDE RECREATIVA</t>
  </si>
  <si>
    <t>CASA SANTA BÁRBARA MOMPOX</t>
  </si>
  <si>
    <t>TRABAJO HÍBRIDO</t>
  </si>
  <si>
    <t>ADECUACIÓN JARDÍN BOTÁNICO</t>
  </si>
  <si>
    <t>SISTEMA CONTRAINCENDIOS TAKURIKA</t>
  </si>
  <si>
    <t>2026-001 INCREMENTO FONDO CRÉDITO SOCIAL</t>
  </si>
  <si>
    <t>CCF008-04-00010</t>
  </si>
  <si>
    <t>2026-02-01</t>
  </si>
  <si>
    <t>2027-02-28</t>
  </si>
  <si>
    <t>2024-003 MEJORAMIENTO SEDE RECREACIONAL MAGANGUÉ</t>
  </si>
  <si>
    <t>CCF008-02-00017</t>
  </si>
  <si>
    <t>0</t>
  </si>
  <si>
    <t>2025-002 COMPRA ACCIONES ASOPAGOS</t>
  </si>
  <si>
    <t>CCF008-07-00004</t>
  </si>
  <si>
    <t>2025-05-02</t>
  </si>
  <si>
    <t>2025-11-30</t>
  </si>
  <si>
    <t>2024-001 INCREMENTO FONDO CRÉDITO SOCIAL</t>
  </si>
  <si>
    <t>CCF008-04-00008</t>
  </si>
  <si>
    <t>2024-03-01</t>
  </si>
  <si>
    <t>2025-02-28</t>
  </si>
  <si>
    <t>22-02 FINANCIACIÓN VIS PORTALES DEL RÍO MAGANGUÉ</t>
  </si>
  <si>
    <t>2022-05-30</t>
  </si>
  <si>
    <t>2025-08-30</t>
  </si>
  <si>
    <t>proyecto_nombre</t>
  </si>
  <si>
    <t>alcance_nombre</t>
  </si>
  <si>
    <t>avance</t>
  </si>
  <si>
    <t>Acceso, senderos y garita principal</t>
  </si>
  <si>
    <t>2025-05-03</t>
  </si>
  <si>
    <t>Carril de desaceleración</t>
  </si>
  <si>
    <t>2024-09-06</t>
  </si>
  <si>
    <t>2025-05-22</t>
  </si>
  <si>
    <t>Movimiento de tierra Tribilín</t>
  </si>
  <si>
    <t>2025-03-22</t>
  </si>
  <si>
    <t>2025-07-20</t>
  </si>
  <si>
    <t>Muro de contención</t>
  </si>
  <si>
    <t>2025-05-20</t>
  </si>
  <si>
    <t>2025-12-14</t>
  </si>
  <si>
    <t>Servicios públicos</t>
  </si>
  <si>
    <t>2024-07-01</t>
  </si>
  <si>
    <t>2024-12-26</t>
  </si>
  <si>
    <t>Cuartos técnicos</t>
  </si>
  <si>
    <t>2025-10-15</t>
  </si>
  <si>
    <t>2026-11-22</t>
  </si>
  <si>
    <t>Bloques 1, 2 y 9</t>
  </si>
  <si>
    <t>Paisajismo</t>
  </si>
  <si>
    <t>2026-07-25</t>
  </si>
  <si>
    <t>Dotación</t>
  </si>
  <si>
    <t>Ajuste y trámites administrativos</t>
  </si>
  <si>
    <t>2027-01-02</t>
  </si>
  <si>
    <t>2027-06-30</t>
  </si>
  <si>
    <t>1900-01-00</t>
  </si>
  <si>
    <t>Incrementar el número de afiliados beneficiados del servicio de Crédito Social, ayudándoles así a mejorar su calidad de vida, mediante la disponibilidad de líneas de crédito con bajas tasas de interés y facilidades de pago -</t>
  </si>
  <si>
    <t>2026-03-01</t>
  </si>
  <si>
    <t>Ajuste y trámites administrativos -</t>
  </si>
  <si>
    <t>2027-04-30</t>
  </si>
  <si>
    <t>modificacion</t>
  </si>
  <si>
    <t>categoría_modificacion</t>
  </si>
  <si>
    <t>fuentes_modificacion</t>
  </si>
  <si>
    <t>nueva_fecha_modificacion</t>
  </si>
  <si>
    <t>valor_total_modificacion</t>
  </si>
  <si>
    <t>valor_modificacion_saldo_para_obras</t>
  </si>
  <si>
    <t>valor_modificacion_ley 115</t>
  </si>
  <si>
    <t>valor_modificacion_excedentes 55%</t>
  </si>
  <si>
    <t>cambio_nombre</t>
  </si>
  <si>
    <t>primer_año_modificacion</t>
  </si>
  <si>
    <t>segundo_año_modificacion</t>
  </si>
  <si>
    <t>tercer_año_modificacion</t>
  </si>
  <si>
    <t>cuarto_año_modificacion</t>
  </si>
  <si>
    <t>Si</t>
  </si>
  <si>
    <t>Nombre</t>
  </si>
  <si>
    <t>FÉNIX - CIUDAD ESCOLAR COMFENALCO FASE 1</t>
  </si>
  <si>
    <t>2024</t>
  </si>
  <si>
    <t>Fuente de recursos</t>
  </si>
  <si>
    <t>Saldo para obras, Ley 115, Excedentes 55%</t>
  </si>
  <si>
    <t>4713263249</t>
  </si>
  <si>
    <t>15175420416</t>
  </si>
  <si>
    <t>12650549047</t>
  </si>
  <si>
    <t>2025</t>
  </si>
  <si>
    <t>47162107683</t>
  </si>
  <si>
    <t>23548696116</t>
  </si>
  <si>
    <t>2026</t>
  </si>
  <si>
    <t>Tiempo</t>
  </si>
  <si>
    <t>Valor</t>
  </si>
  <si>
    <t>Saldo para obras</t>
  </si>
  <si>
    <t>4162619912</t>
  </si>
  <si>
    <t>2025-007 MEJORAMIENTO ZONA DE DESCARGUE Y PÉRGOLAS</t>
  </si>
  <si>
    <t>PLANTILLA SSF PROYECTOS 2026 — COMFENALCO CARTAGENA</t>
  </si>
  <si>
    <t>HOJA PROYECTOS — un proyecto por fila. La primera fila debe ser el encabezado exacto.</t>
  </si>
  <si>
    <t>CAMPO</t>
  </si>
  <si>
    <t>DESCRIPCIÓN</t>
  </si>
  <si>
    <t>NOTAS</t>
  </si>
  <si>
    <t>Nombre completo del proyecto</t>
  </si>
  <si>
    <t>OBLIGATORIO</t>
  </si>
  <si>
    <t>Código interno</t>
  </si>
  <si>
    <t>Estado actual</t>
  </si>
  <si>
    <t>En ejecución | En formulación | Finalizado</t>
  </si>
  <si>
    <t>Valor total en pesos COP</t>
  </si>
  <si>
    <t>Sin puntos ni símbolos</t>
  </si>
  <si>
    <t>Total ejecutado histórico</t>
  </si>
  <si>
    <t>Ejecutado vigencia 2026</t>
  </si>
  <si>
    <t>LMI aprobado 2026</t>
  </si>
  <si>
    <t>Saldo por ejecutar</t>
  </si>
  <si>
    <t>Ejecutado 2024</t>
  </si>
  <si>
    <t>Ejecutado 2025</t>
  </si>
  <si>
    <t>% ejec. vigencia 2026</t>
  </si>
  <si>
    <t>0 a 100</t>
  </si>
  <si>
    <t>% ejec. financiera general</t>
  </si>
  <si>
    <t>% avance físico de obra</t>
  </si>
  <si>
    <t>Fecha inicio</t>
  </si>
  <si>
    <t>YYYY-MM-DD o vacío</t>
  </si>
  <si>
    <t>Fecha fin</t>
  </si>
  <si>
    <t>Estado de tiempo en texto</t>
  </si>
  <si>
    <t>Ej: Faltan 45 días</t>
  </si>
  <si>
    <t>Días: positivo=faltan, negativo=transcurridos</t>
  </si>
  <si>
    <t>LMI aprobado</t>
  </si>
  <si>
    <t>LMI ejecutado</t>
  </si>
  <si>
    <t>LMI saldo</t>
  </si>
  <si>
    <t>HOJA ALCANCES: proyecto_nombre | alcance_nombre | avance (0 a 1) | fecha_inicio | fecha_fin</t>
  </si>
  <si>
    <t>HOJA MODIFICACIONES: proyecto | año | categoria | fecha | fuente | detalle | nuevo_nombre | val_ant | val_nuevo | plazo_ant | plazo_nuevo</t>
  </si>
  <si>
    <t xml:space="preserve">  categoria: Tiempo | Valor | Fuente | Nombre</t>
  </si>
  <si>
    <t xml:space="preserve">  fuente: Saldo para obras | Ley 115 | Excedentes 55% (separados por coma si son varios)</t>
  </si>
  <si>
    <t>NOTA: Proyectos en formulación pueden tener valores en 0 — deben incluirse para el conteo total.</t>
  </si>
  <si>
    <t>2026 - 002 CERRAMIENTO PERIMETRAL SEDE RECREACIONAL TAKURIKA</t>
  </si>
  <si>
    <t>Construir muro en mampostería estructural conforme al Reglamento Colombiano de Construcción Sismo Resistente (NSR-10).</t>
  </si>
  <si>
    <t>Instalar el sistema de iluminación perimetral LED de alta eficiencia.</t>
  </si>
  <si>
    <t>Implementar el sistema de videovigilancia CCTV (11 cámaras + NVR).</t>
  </si>
  <si>
    <t>Instalar el cerco eléctrico de seguridad en todo el perímetro</t>
  </si>
  <si>
    <t>2026 - 003 RED CONTRA INCENDIO TAKURIKA</t>
  </si>
  <si>
    <t>Instalar la red principal de tuberías PEAD PN16 FM Clase 200 enterrada (~1.130 Ml).</t>
  </si>
  <si>
    <t>Suministrar e instalar 12 hidrantes monitor ø4", 4 gabinetes Clase III y siamesa.</t>
  </si>
  <si>
    <t>Instalar el sistema de rociadores NFPA 13 en el salón de eventos (19 sprinklers).</t>
  </si>
  <si>
    <t>Instalar equipo de bombeo Diesel Q=500 gpm / HT=140 PSI + bomba Jockey.</t>
  </si>
  <si>
    <t>Realizar pruebas hidrostáticas y obtener certificación NFPA del sistema.</t>
  </si>
  <si>
    <t>2026 - 004 ADECUACIÓN CASA MOMPOX</t>
  </si>
  <si>
    <t>Reforzar estructuralmente los muros, la cimentación y estructura metálica del inmueble</t>
  </si>
  <si>
    <t>Realizar adecuaciones arquitectónicas de pisos, muros, cielos y carpintería.</t>
  </si>
  <si>
    <t>Implementar instalaciones hidrosanitarias y red contra incendio NFPA.</t>
  </si>
  <si>
    <t>Adecuar las instalaciones eléctricas, comunicaciones y sistema HVAC-VRF.</t>
  </si>
  <si>
    <t>2025-007 MEJORAMIENTO DE ZONAS DE DESCARGUE Y PÉRGOLAS TAKURIKA</t>
  </si>
  <si>
    <t>Adecuación zona de descargue</t>
  </si>
  <si>
    <t>Construcción de 2 pérgolas</t>
  </si>
  <si>
    <t>2026-002 CERRAMIENTO PERIMETRAL SEDE RECREACIONAL TAKURIKA</t>
  </si>
  <si>
    <t>2026-003 RED CONTRA INCENDIO TAKURIKA</t>
  </si>
  <si>
    <t>Financiar con recursos del FOVIS al oferente Constructora ARCUES SAS para el desarrollo del proyecto de vivienda de interés social: Portales del Río Etapa 2 – Magangué, que les permita a los afiliados de la Caja de Compensación Familiar de Fenalco Andi - COMFENALCO CARTAGENA y a la comunidad en general, adquirir una vivienda VIS construida bajo los estándares normativos de ley</t>
  </si>
  <si>
    <t>2025 - 003 FINANCIACIÓN OFERENTE PARA EL DESARROLLO DE UN PROYECTO DE VIVIENDA DE INTERES SOCIAL PORTALES DEL RÍO ETAPA 2 - MAGANGUÉ</t>
  </si>
  <si>
    <t>CCF008-05-00021</t>
  </si>
  <si>
    <t>CCF008-05-00022</t>
  </si>
  <si>
    <t>CCF008-05-00023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</si>
</sst>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;@"/>
    <numFmt numFmtId="165" formatCode="0;[Red]0"/>
    <numFmt numFmtId="170" formatCode="0.000000"/>
    <numFmt numFmtId="171" formatCode="0.0"/>
  </numFmts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 applyNumberFormat="1"/>
    <xf numFmtId="3" fontId="0" fillId="0" borderId="0" xfId="0" applyNumberFormat="1"/>
    <xf numFmtId="164" fontId="0" fillId="0" borderId="0" xfId="0" applyNumberFormat="1"/>
    <xf numFmtId="164" fontId="0" fillId="0" borderId="0" xfId="0" applyNumberFormat="1" applyAlignment="1">
      <alignment horizontal="right"/>
    </xf>
    <xf numFmtId="1" fontId="0" fillId="0" borderId="0" xfId="0" applyNumberFormat="1"/>
    <xf numFmtId="0" fontId="0" fillId="0" borderId="0" xfId="0" applyNumberFormat="1" applyAlignment="1">
      <alignment horizontal="right"/>
    </xf>
    <xf numFmtId="165" fontId="0" fillId="0" borderId="0" xfId="0" applyNumberFormat="1"/>
    <xf numFmtId="9" fontId="0" fillId="0" borderId="0" xfId="1" applyFont="1"/>
    <xf numFmtId="170" fontId="0" fillId="0" borderId="0" xfId="0" applyNumberFormat="1"/>
    <xf numFmtId="171" fontId="0" fillId="0" borderId="0" xfId="0" applyNumberFormat="1"/>
  </cellXfs>
  <cellStyles count="2">
    <cellStyle name="Normal" xfId="0" builtinId="0"/>
    <cellStyle name="Porcentaje" xfId="1" builtinId="5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3"/>
  <sheetViews>
    <sheetView tabSelected="1" topLeftCell="G1" workbookViewId="0">
      <selection activeCell="R5" sqref="R5"/>
    </sheetView>
  </sheetViews>
  <sheetFormatPr baseColWidth="10" defaultRowHeight="15.6" x14ac:dyDescent="0.3"/>
  <cols>
    <col min="1" max="1" width="46.796875" customWidth="1"/>
    <col min="2" max="2" width="20.796875" customWidth="1"/>
    <col min="3" max="3" width="18.796875" customWidth="1"/>
    <col min="4" max="8" width="16.796875" customWidth="1"/>
    <col min="9" max="10" width="14.796875" customWidth="1"/>
    <col min="11" max="12" width="16.796875" customWidth="1"/>
    <col min="13" max="13" width="14.796875" customWidth="1"/>
    <col min="14" max="15" width="13.796875" customWidth="1"/>
    <col min="16" max="16" width="24.796875" customWidth="1"/>
    <col min="17" max="17" width="10.796875" customWidth="1"/>
    <col min="18" max="18" width="16.796875" customWidth="1"/>
    <col min="19" max="20" width="14.796875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t="s">
        <v>21</v>
      </c>
      <c r="C2" t="s">
        <v>22</v>
      </c>
      <c r="D2">
        <v>83361352846</v>
      </c>
      <c r="E2">
        <v>59159995633</v>
      </c>
      <c r="F2">
        <v>20856073071</v>
      </c>
      <c r="G2">
        <v>45057430284</v>
      </c>
      <c r="H2">
        <f>+D2-E2</f>
        <v>24201357213</v>
      </c>
      <c r="I2">
        <v>11679494928</v>
      </c>
      <c r="J2">
        <v>26624427634</v>
      </c>
      <c r="K2" s="9">
        <f>+(F2/G2)*100</f>
        <v>46.287755292618279</v>
      </c>
      <c r="L2" s="9">
        <f>+(E2/D2)*100</f>
        <v>70.968132849632283</v>
      </c>
      <c r="M2">
        <v>87</v>
      </c>
      <c r="N2" s="2">
        <v>45473</v>
      </c>
      <c r="O2" s="3">
        <v>46568</v>
      </c>
      <c r="P2" t="str">
        <f ca="1">+IF(Q2&gt;=1,"Faltan "&amp;Q2&amp;" días","Finalizado hace "&amp;(-1*Q2)&amp;" días")</f>
        <v>Faltan 267 días</v>
      </c>
      <c r="Q2" s="6">
        <f ca="1">+O2-TODAY()</f>
        <v>267</v>
      </c>
      <c r="R2">
        <v>45057430284</v>
      </c>
      <c r="S2">
        <f>+E2</f>
        <v>59159995633</v>
      </c>
      <c r="T2">
        <f>+D2-S2</f>
        <v>24201357213</v>
      </c>
    </row>
    <row r="3" spans="1:20" x14ac:dyDescent="0.3">
      <c r="A3" t="s">
        <v>25</v>
      </c>
      <c r="B3" t="s">
        <v>26</v>
      </c>
      <c r="C3" t="s">
        <v>27</v>
      </c>
      <c r="D3">
        <v>7294948891</v>
      </c>
      <c r="E3">
        <v>5420456926</v>
      </c>
      <c r="F3">
        <v>676418269</v>
      </c>
      <c r="G3">
        <v>2550910234</v>
      </c>
      <c r="H3">
        <f t="shared" ref="H3:H22" si="0">+D3-E3</f>
        <v>1874491965</v>
      </c>
      <c r="I3">
        <v>1515120296</v>
      </c>
      <c r="J3">
        <v>3228918361</v>
      </c>
      <c r="K3" s="9">
        <f t="shared" ref="K3:K22" si="1">+(F3/G3)*100</f>
        <v>26.516741357038281</v>
      </c>
      <c r="L3" s="9">
        <f t="shared" ref="L3:L22" si="2">+(E3/D3)*100</f>
        <v>74.304248144731787</v>
      </c>
      <c r="M3">
        <v>100</v>
      </c>
      <c r="N3" s="5" t="s">
        <v>28</v>
      </c>
      <c r="O3" s="5" t="s">
        <v>29</v>
      </c>
      <c r="P3" t="str">
        <f t="shared" ref="P3:P22" ca="1" si="3">+IF(Q3&gt;=1,"Faltan "&amp;Q3&amp;" días","Finalizado hace "&amp;(-1*Q3)&amp;" días")</f>
        <v>Finalizado hace 128 días</v>
      </c>
      <c r="Q3" s="6">
        <f ca="1">+O3-TODAY()</f>
        <v>-128</v>
      </c>
      <c r="R3">
        <v>2550910234</v>
      </c>
      <c r="S3">
        <f t="shared" ref="S3:S22" si="4">+E3</f>
        <v>5420456926</v>
      </c>
      <c r="T3">
        <f t="shared" ref="T3:T22" si="5">+D3-S3</f>
        <v>1874491965</v>
      </c>
    </row>
    <row r="4" spans="1:20" x14ac:dyDescent="0.3">
      <c r="A4" t="s">
        <v>30</v>
      </c>
      <c r="B4" t="s">
        <v>31</v>
      </c>
      <c r="C4" t="s">
        <v>27</v>
      </c>
      <c r="D4">
        <v>26000000000</v>
      </c>
      <c r="E4">
        <v>26000000000</v>
      </c>
      <c r="F4">
        <v>4034534474</v>
      </c>
      <c r="G4">
        <v>4034534474</v>
      </c>
      <c r="H4">
        <f t="shared" si="0"/>
        <v>0</v>
      </c>
      <c r="I4">
        <v>0</v>
      </c>
      <c r="J4">
        <v>21965465526</v>
      </c>
      <c r="K4" s="9">
        <f t="shared" si="1"/>
        <v>100</v>
      </c>
      <c r="L4" s="9">
        <f t="shared" si="2"/>
        <v>100</v>
      </c>
      <c r="M4">
        <v>100</v>
      </c>
      <c r="N4" s="5" t="s">
        <v>32</v>
      </c>
      <c r="O4" s="5" t="s">
        <v>33</v>
      </c>
      <c r="P4" t="str">
        <f t="shared" ca="1" si="3"/>
        <v>Finalizado hace 220 días</v>
      </c>
      <c r="Q4" s="6">
        <f t="shared" ref="Q4:Q22" ca="1" si="6">+O4-TODAY()</f>
        <v>-220</v>
      </c>
      <c r="R4">
        <v>4034534474</v>
      </c>
      <c r="S4">
        <f t="shared" si="4"/>
        <v>26000000000</v>
      </c>
      <c r="T4">
        <f t="shared" si="5"/>
        <v>0</v>
      </c>
    </row>
    <row r="5" spans="1:20" x14ac:dyDescent="0.3">
      <c r="A5" t="s">
        <v>34</v>
      </c>
      <c r="B5" t="s">
        <v>35</v>
      </c>
      <c r="C5" t="s">
        <v>27</v>
      </c>
      <c r="D5">
        <v>4162619912</v>
      </c>
      <c r="E5">
        <v>4086905263</v>
      </c>
      <c r="F5">
        <v>534951038</v>
      </c>
      <c r="G5">
        <v>610665687</v>
      </c>
      <c r="H5">
        <f t="shared" si="0"/>
        <v>75714649</v>
      </c>
      <c r="I5">
        <v>0</v>
      </c>
      <c r="J5">
        <v>3551954225</v>
      </c>
      <c r="K5" s="9">
        <f t="shared" si="1"/>
        <v>87.601293045960844</v>
      </c>
      <c r="L5" s="9">
        <f t="shared" si="2"/>
        <v>98.181081852279391</v>
      </c>
      <c r="M5">
        <v>100</v>
      </c>
      <c r="N5" s="5" t="s">
        <v>32</v>
      </c>
      <c r="O5" s="5" t="s">
        <v>36</v>
      </c>
      <c r="P5" t="str">
        <f t="shared" ca="1" si="3"/>
        <v>Finalizado hace 98 días</v>
      </c>
      <c r="Q5" s="6">
        <f t="shared" ca="1" si="6"/>
        <v>-98</v>
      </c>
      <c r="R5">
        <v>610665687</v>
      </c>
      <c r="S5">
        <f t="shared" si="4"/>
        <v>4086905263</v>
      </c>
      <c r="T5">
        <f t="shared" si="5"/>
        <v>75714649</v>
      </c>
    </row>
    <row r="6" spans="1:20" x14ac:dyDescent="0.3">
      <c r="A6" t="s">
        <v>37</v>
      </c>
      <c r="B6" t="s">
        <v>38</v>
      </c>
      <c r="C6" t="s">
        <v>22</v>
      </c>
      <c r="D6">
        <v>5000000000</v>
      </c>
      <c r="E6">
        <v>5000000000</v>
      </c>
      <c r="F6">
        <v>0</v>
      </c>
      <c r="G6">
        <v>0</v>
      </c>
      <c r="H6">
        <f t="shared" si="0"/>
        <v>0</v>
      </c>
      <c r="I6">
        <v>0</v>
      </c>
      <c r="J6">
        <v>5000000000</v>
      </c>
      <c r="K6" s="9" t="e">
        <f t="shared" si="1"/>
        <v>#DIV/0!</v>
      </c>
      <c r="L6" s="9">
        <f t="shared" si="2"/>
        <v>100</v>
      </c>
      <c r="M6">
        <v>50</v>
      </c>
      <c r="N6" s="3">
        <v>45899</v>
      </c>
      <c r="O6" s="3">
        <v>46507</v>
      </c>
      <c r="P6" t="str">
        <f t="shared" ca="1" si="3"/>
        <v>Faltan 206 días</v>
      </c>
      <c r="Q6" s="6">
        <f t="shared" ca="1" si="6"/>
        <v>206</v>
      </c>
      <c r="R6">
        <v>0</v>
      </c>
      <c r="S6">
        <f t="shared" si="4"/>
        <v>5000000000</v>
      </c>
      <c r="T6">
        <f t="shared" si="5"/>
        <v>0</v>
      </c>
    </row>
    <row r="7" spans="1:20" x14ac:dyDescent="0.3">
      <c r="A7" t="s">
        <v>39</v>
      </c>
      <c r="B7" t="s">
        <v>40</v>
      </c>
      <c r="C7" t="s">
        <v>27</v>
      </c>
      <c r="D7">
        <v>566637677</v>
      </c>
      <c r="E7">
        <v>540939696</v>
      </c>
      <c r="F7">
        <v>383009692</v>
      </c>
      <c r="G7">
        <v>403362253</v>
      </c>
      <c r="H7">
        <f t="shared" si="0"/>
        <v>25697981</v>
      </c>
      <c r="I7">
        <v>0</v>
      </c>
      <c r="J7">
        <v>157930004</v>
      </c>
      <c r="K7" s="9">
        <f t="shared" si="1"/>
        <v>94.954272282885128</v>
      </c>
      <c r="L7" s="9">
        <f t="shared" si="2"/>
        <v>95.464830165185077</v>
      </c>
      <c r="M7">
        <v>100</v>
      </c>
      <c r="N7" s="5" t="s">
        <v>41</v>
      </c>
      <c r="O7" s="5" t="s">
        <v>42</v>
      </c>
      <c r="P7" t="str">
        <f t="shared" ca="1" si="3"/>
        <v>Finalizado hace 67 días</v>
      </c>
      <c r="Q7" s="6">
        <f t="shared" ca="1" si="6"/>
        <v>-67</v>
      </c>
      <c r="R7">
        <v>403362253</v>
      </c>
      <c r="S7">
        <f t="shared" si="4"/>
        <v>540939696</v>
      </c>
      <c r="T7">
        <f t="shared" si="5"/>
        <v>25697981</v>
      </c>
    </row>
    <row r="8" spans="1:20" x14ac:dyDescent="0.3">
      <c r="A8" t="s">
        <v>43</v>
      </c>
      <c r="B8" t="s">
        <v>44</v>
      </c>
      <c r="C8" t="s">
        <v>27</v>
      </c>
      <c r="D8">
        <v>549577430</v>
      </c>
      <c r="E8">
        <v>499715743</v>
      </c>
      <c r="F8">
        <v>350538350</v>
      </c>
      <c r="G8">
        <v>392915201</v>
      </c>
      <c r="H8">
        <f t="shared" si="0"/>
        <v>49861687</v>
      </c>
      <c r="I8">
        <v>0</v>
      </c>
      <c r="J8">
        <v>149177393</v>
      </c>
      <c r="K8" s="9">
        <f t="shared" si="1"/>
        <v>89.214759089964559</v>
      </c>
      <c r="L8" s="9">
        <f t="shared" si="2"/>
        <v>90.927268064847567</v>
      </c>
      <c r="M8">
        <v>100</v>
      </c>
      <c r="N8" s="5" t="s">
        <v>45</v>
      </c>
      <c r="O8" s="5" t="s">
        <v>42</v>
      </c>
      <c r="P8" t="str">
        <f t="shared" ca="1" si="3"/>
        <v>Finalizado hace 67 días</v>
      </c>
      <c r="Q8" s="6">
        <f t="shared" ca="1" si="6"/>
        <v>-67</v>
      </c>
      <c r="R8">
        <v>392915201</v>
      </c>
      <c r="S8">
        <f t="shared" si="4"/>
        <v>499715743</v>
      </c>
      <c r="T8">
        <f t="shared" si="5"/>
        <v>49861687</v>
      </c>
    </row>
    <row r="9" spans="1:20" x14ac:dyDescent="0.3">
      <c r="A9" t="s">
        <v>195</v>
      </c>
      <c r="B9" t="s">
        <v>199</v>
      </c>
      <c r="C9" t="s">
        <v>22</v>
      </c>
      <c r="D9">
        <v>7022284573</v>
      </c>
      <c r="E9">
        <v>170762453</v>
      </c>
      <c r="F9">
        <v>170762453</v>
      </c>
      <c r="G9">
        <v>3584868483.3000002</v>
      </c>
      <c r="H9">
        <f t="shared" si="0"/>
        <v>6851522120</v>
      </c>
      <c r="I9">
        <v>0</v>
      </c>
      <c r="J9">
        <v>0</v>
      </c>
      <c r="K9" s="9">
        <f t="shared" si="1"/>
        <v>4.7634230877783006</v>
      </c>
      <c r="L9" s="9">
        <f t="shared" si="2"/>
        <v>2.4317222012984918</v>
      </c>
      <c r="M9">
        <v>0</v>
      </c>
      <c r="N9" s="3">
        <v>46353</v>
      </c>
      <c r="O9" s="3">
        <v>47124</v>
      </c>
      <c r="P9" t="str">
        <f t="shared" ca="1" si="3"/>
        <v>Faltan 823 días</v>
      </c>
      <c r="Q9" s="6">
        <f t="shared" ca="1" si="6"/>
        <v>823</v>
      </c>
      <c r="R9">
        <v>3584868483.3000002</v>
      </c>
      <c r="S9">
        <f t="shared" si="4"/>
        <v>170762453</v>
      </c>
      <c r="T9">
        <f t="shared" si="5"/>
        <v>6851522120</v>
      </c>
    </row>
    <row r="10" spans="1:20" x14ac:dyDescent="0.3">
      <c r="A10" t="s">
        <v>47</v>
      </c>
      <c r="B10" t="s">
        <v>48</v>
      </c>
      <c r="C10" t="s">
        <v>22</v>
      </c>
      <c r="D10">
        <v>313920380</v>
      </c>
      <c r="E10">
        <v>286779096</v>
      </c>
      <c r="F10">
        <v>207451432</v>
      </c>
      <c r="G10">
        <v>313426145</v>
      </c>
      <c r="H10">
        <f t="shared" si="0"/>
        <v>27141284</v>
      </c>
      <c r="I10">
        <v>0</v>
      </c>
      <c r="J10">
        <v>494235</v>
      </c>
      <c r="K10" s="9">
        <f t="shared" si="1"/>
        <v>66.188298362920548</v>
      </c>
      <c r="L10" s="9">
        <f t="shared" si="2"/>
        <v>91.35408666363108</v>
      </c>
      <c r="M10">
        <v>94</v>
      </c>
      <c r="N10" s="3">
        <v>46116</v>
      </c>
      <c r="O10" s="5" t="s">
        <v>49</v>
      </c>
      <c r="P10" t="str">
        <f t="shared" ca="1" si="3"/>
        <v>Faltan 55 días</v>
      </c>
      <c r="Q10" s="6">
        <f t="shared" ca="1" si="6"/>
        <v>55</v>
      </c>
      <c r="R10">
        <v>313426145</v>
      </c>
      <c r="S10">
        <f t="shared" si="4"/>
        <v>286779096</v>
      </c>
      <c r="T10">
        <f t="shared" si="5"/>
        <v>27141284</v>
      </c>
    </row>
    <row r="11" spans="1:20" x14ac:dyDescent="0.3">
      <c r="A11" t="s">
        <v>50</v>
      </c>
      <c r="B11" t="s">
        <v>51</v>
      </c>
      <c r="C11" t="s">
        <v>46</v>
      </c>
      <c r="D11">
        <v>0</v>
      </c>
      <c r="E11">
        <v>0</v>
      </c>
      <c r="F11">
        <v>0</v>
      </c>
      <c r="G11">
        <v>0</v>
      </c>
      <c r="H11">
        <f t="shared" si="0"/>
        <v>0</v>
      </c>
      <c r="I11">
        <v>0</v>
      </c>
      <c r="J11">
        <v>0</v>
      </c>
      <c r="K11" s="9" t="e">
        <f t="shared" si="1"/>
        <v>#DIV/0!</v>
      </c>
      <c r="L11" s="9" t="e">
        <f t="shared" si="2"/>
        <v>#DIV/0!</v>
      </c>
      <c r="M11">
        <v>0</v>
      </c>
      <c r="N11" t="s">
        <v>52</v>
      </c>
      <c r="O11" t="s">
        <v>52</v>
      </c>
      <c r="P11" t="e">
        <f t="shared" ca="1" si="3"/>
        <v>#VALUE!</v>
      </c>
      <c r="Q11" s="6" t="e">
        <f t="shared" ca="1" si="6"/>
        <v>#VALUE!</v>
      </c>
      <c r="R11">
        <v>0</v>
      </c>
      <c r="S11">
        <f t="shared" si="4"/>
        <v>0</v>
      </c>
      <c r="T11">
        <f t="shared" si="5"/>
        <v>0</v>
      </c>
    </row>
    <row r="12" spans="1:20" x14ac:dyDescent="0.3">
      <c r="A12" t="s">
        <v>53</v>
      </c>
      <c r="B12" t="s">
        <v>51</v>
      </c>
      <c r="C12" t="s">
        <v>46</v>
      </c>
      <c r="D12">
        <v>0</v>
      </c>
      <c r="E12">
        <v>0</v>
      </c>
      <c r="F12">
        <v>0</v>
      </c>
      <c r="G12">
        <v>0</v>
      </c>
      <c r="H12">
        <f t="shared" si="0"/>
        <v>0</v>
      </c>
      <c r="I12">
        <v>0</v>
      </c>
      <c r="J12">
        <v>0</v>
      </c>
      <c r="K12" s="9" t="e">
        <f t="shared" si="1"/>
        <v>#DIV/0!</v>
      </c>
      <c r="L12" s="9" t="e">
        <f t="shared" si="2"/>
        <v>#DIV/0!</v>
      </c>
      <c r="M12">
        <v>0</v>
      </c>
      <c r="N12" t="s">
        <v>52</v>
      </c>
      <c r="O12" t="s">
        <v>52</v>
      </c>
      <c r="P12" t="e">
        <f t="shared" ca="1" si="3"/>
        <v>#VALUE!</v>
      </c>
      <c r="Q12" s="6" t="e">
        <f t="shared" ca="1" si="6"/>
        <v>#VALUE!</v>
      </c>
      <c r="R12">
        <v>0</v>
      </c>
      <c r="S12">
        <f t="shared" si="4"/>
        <v>0</v>
      </c>
      <c r="T12">
        <f t="shared" si="5"/>
        <v>0</v>
      </c>
    </row>
    <row r="13" spans="1:20" x14ac:dyDescent="0.3">
      <c r="A13" t="s">
        <v>54</v>
      </c>
      <c r="B13" t="s">
        <v>51</v>
      </c>
      <c r="C13" t="s">
        <v>46</v>
      </c>
      <c r="D13">
        <v>0</v>
      </c>
      <c r="E13">
        <v>0</v>
      </c>
      <c r="F13">
        <v>0</v>
      </c>
      <c r="G13">
        <v>0</v>
      </c>
      <c r="H13">
        <f t="shared" si="0"/>
        <v>0</v>
      </c>
      <c r="I13">
        <v>0</v>
      </c>
      <c r="J13">
        <v>0</v>
      </c>
      <c r="K13" s="9" t="e">
        <f t="shared" si="1"/>
        <v>#DIV/0!</v>
      </c>
      <c r="L13" s="9" t="e">
        <f t="shared" si="2"/>
        <v>#DIV/0!</v>
      </c>
      <c r="M13">
        <v>0</v>
      </c>
      <c r="N13" t="s">
        <v>52</v>
      </c>
      <c r="O13" t="s">
        <v>52</v>
      </c>
      <c r="P13" t="e">
        <f t="shared" ca="1" si="3"/>
        <v>#VALUE!</v>
      </c>
      <c r="Q13" s="6" t="e">
        <f t="shared" ca="1" si="6"/>
        <v>#VALUE!</v>
      </c>
      <c r="R13">
        <v>0</v>
      </c>
      <c r="S13">
        <f t="shared" si="4"/>
        <v>0</v>
      </c>
      <c r="T13">
        <f t="shared" si="5"/>
        <v>0</v>
      </c>
    </row>
    <row r="14" spans="1:20" x14ac:dyDescent="0.3">
      <c r="A14" t="s">
        <v>187</v>
      </c>
      <c r="B14" t="s">
        <v>201</v>
      </c>
      <c r="C14" t="s">
        <v>22</v>
      </c>
      <c r="D14">
        <v>7233565156</v>
      </c>
      <c r="E14">
        <v>322069896</v>
      </c>
      <c r="F14">
        <v>322069896</v>
      </c>
      <c r="G14">
        <v>3477679682</v>
      </c>
      <c r="H14">
        <f t="shared" si="0"/>
        <v>6911495260</v>
      </c>
      <c r="I14">
        <v>0</v>
      </c>
      <c r="J14">
        <v>0</v>
      </c>
      <c r="K14" s="9">
        <f t="shared" si="1"/>
        <v>9.2610569532033171</v>
      </c>
      <c r="L14" s="9">
        <f t="shared" si="2"/>
        <v>4.4524365102712018</v>
      </c>
      <c r="M14">
        <v>0</v>
      </c>
      <c r="N14" s="3">
        <v>46382</v>
      </c>
      <c r="O14" s="3">
        <v>47075</v>
      </c>
      <c r="P14" t="str">
        <f t="shared" ca="1" si="3"/>
        <v>Faltan 774 días</v>
      </c>
      <c r="Q14" s="6">
        <f t="shared" ca="1" si="6"/>
        <v>774</v>
      </c>
      <c r="R14">
        <v>3477679682</v>
      </c>
      <c r="S14">
        <f t="shared" si="4"/>
        <v>322069896</v>
      </c>
      <c r="T14">
        <f t="shared" si="5"/>
        <v>6911495260</v>
      </c>
    </row>
    <row r="15" spans="1:20" x14ac:dyDescent="0.3">
      <c r="A15" t="s">
        <v>56</v>
      </c>
      <c r="B15" t="s">
        <v>51</v>
      </c>
      <c r="C15" t="s">
        <v>46</v>
      </c>
      <c r="D15">
        <v>0</v>
      </c>
      <c r="E15">
        <v>0</v>
      </c>
      <c r="F15">
        <v>0</v>
      </c>
      <c r="G15">
        <v>0</v>
      </c>
      <c r="H15">
        <f t="shared" si="0"/>
        <v>0</v>
      </c>
      <c r="I15">
        <v>0</v>
      </c>
      <c r="J15">
        <v>0</v>
      </c>
      <c r="K15" s="9" t="e">
        <f t="shared" si="1"/>
        <v>#DIV/0!</v>
      </c>
      <c r="L15" s="9" t="e">
        <f t="shared" si="2"/>
        <v>#DIV/0!</v>
      </c>
      <c r="M15">
        <v>0</v>
      </c>
      <c r="N15" s="5" t="s">
        <v>52</v>
      </c>
      <c r="O15" s="5" t="s">
        <v>52</v>
      </c>
      <c r="P15" t="e">
        <f t="shared" ca="1" si="3"/>
        <v>#VALUE!</v>
      </c>
      <c r="Q15" s="6" t="e">
        <f t="shared" ca="1" si="6"/>
        <v>#VALUE!</v>
      </c>
      <c r="R15">
        <v>0</v>
      </c>
      <c r="S15">
        <f t="shared" si="4"/>
        <v>0</v>
      </c>
      <c r="T15">
        <f t="shared" si="5"/>
        <v>0</v>
      </c>
    </row>
    <row r="16" spans="1:20" x14ac:dyDescent="0.3">
      <c r="A16" t="s">
        <v>57</v>
      </c>
      <c r="B16" t="s">
        <v>51</v>
      </c>
      <c r="C16" t="s">
        <v>46</v>
      </c>
      <c r="D16">
        <v>0</v>
      </c>
      <c r="E16">
        <v>0</v>
      </c>
      <c r="F16">
        <v>0</v>
      </c>
      <c r="G16">
        <v>0</v>
      </c>
      <c r="H16">
        <f t="shared" si="0"/>
        <v>0</v>
      </c>
      <c r="I16">
        <v>0</v>
      </c>
      <c r="J16">
        <v>0</v>
      </c>
      <c r="K16" s="9" t="e">
        <f t="shared" si="1"/>
        <v>#DIV/0!</v>
      </c>
      <c r="L16" s="9" t="e">
        <f t="shared" si="2"/>
        <v>#DIV/0!</v>
      </c>
      <c r="M16">
        <v>0</v>
      </c>
      <c r="N16" s="5" t="s">
        <v>52</v>
      </c>
      <c r="O16" s="5" t="s">
        <v>52</v>
      </c>
      <c r="P16" t="e">
        <f t="shared" ca="1" si="3"/>
        <v>#VALUE!</v>
      </c>
      <c r="Q16" s="6" t="e">
        <f t="shared" ca="1" si="6"/>
        <v>#VALUE!</v>
      </c>
      <c r="R16">
        <v>0</v>
      </c>
      <c r="S16">
        <f t="shared" si="4"/>
        <v>0</v>
      </c>
      <c r="T16">
        <f t="shared" si="5"/>
        <v>0</v>
      </c>
    </row>
    <row r="17" spans="1:20" x14ac:dyDescent="0.3">
      <c r="A17" t="s">
        <v>196</v>
      </c>
      <c r="B17" t="s">
        <v>200</v>
      </c>
      <c r="C17" t="s">
        <v>46</v>
      </c>
      <c r="D17">
        <v>2181267542</v>
      </c>
      <c r="E17">
        <v>0</v>
      </c>
      <c r="F17">
        <v>0</v>
      </c>
      <c r="G17">
        <v>1105633771.0693662</v>
      </c>
      <c r="H17">
        <f t="shared" si="0"/>
        <v>2181267542</v>
      </c>
      <c r="I17">
        <v>0</v>
      </c>
      <c r="J17">
        <v>0</v>
      </c>
      <c r="K17" s="9">
        <f t="shared" si="1"/>
        <v>0</v>
      </c>
      <c r="L17" s="9">
        <f t="shared" si="2"/>
        <v>0</v>
      </c>
      <c r="M17">
        <v>0</v>
      </c>
      <c r="N17" s="3">
        <v>46393</v>
      </c>
      <c r="O17" s="3">
        <v>46623</v>
      </c>
      <c r="P17" t="str">
        <f t="shared" ca="1" si="3"/>
        <v>Faltan 322 días</v>
      </c>
      <c r="Q17" s="6">
        <f t="shared" ca="1" si="6"/>
        <v>322</v>
      </c>
      <c r="R17">
        <v>2181267542</v>
      </c>
      <c r="S17">
        <f t="shared" si="4"/>
        <v>0</v>
      </c>
      <c r="T17">
        <f t="shared" si="5"/>
        <v>2181267542</v>
      </c>
    </row>
    <row r="18" spans="1:20" x14ac:dyDescent="0.3">
      <c r="A18" t="s">
        <v>59</v>
      </c>
      <c r="B18" t="s">
        <v>60</v>
      </c>
      <c r="C18" t="s">
        <v>22</v>
      </c>
      <c r="D18">
        <v>28000000000</v>
      </c>
      <c r="E18">
        <v>22201161299</v>
      </c>
      <c r="F18">
        <v>22201161299</v>
      </c>
      <c r="G18">
        <v>25058924514</v>
      </c>
      <c r="H18">
        <f t="shared" si="0"/>
        <v>5798838701</v>
      </c>
      <c r="I18">
        <v>0</v>
      </c>
      <c r="J18">
        <v>0</v>
      </c>
      <c r="K18" s="9">
        <f t="shared" si="1"/>
        <v>88.595826555112467</v>
      </c>
      <c r="L18" s="9">
        <f t="shared" si="2"/>
        <v>79.28986178214285</v>
      </c>
      <c r="M18">
        <v>62.6</v>
      </c>
      <c r="N18" s="5" t="s">
        <v>61</v>
      </c>
      <c r="O18" s="5" t="s">
        <v>62</v>
      </c>
      <c r="P18" t="str">
        <f t="shared" ca="1" si="3"/>
        <v>Faltan 145 días</v>
      </c>
      <c r="Q18" s="6">
        <f t="shared" ca="1" si="6"/>
        <v>145</v>
      </c>
      <c r="R18">
        <v>25058924514</v>
      </c>
      <c r="S18">
        <f t="shared" si="4"/>
        <v>22201161299</v>
      </c>
      <c r="T18">
        <f t="shared" si="5"/>
        <v>5798838701</v>
      </c>
    </row>
    <row r="19" spans="1:20" x14ac:dyDescent="0.3">
      <c r="A19" t="s">
        <v>63</v>
      </c>
      <c r="B19" t="s">
        <v>64</v>
      </c>
      <c r="C19" t="s">
        <v>27</v>
      </c>
      <c r="D19">
        <v>426800378</v>
      </c>
      <c r="E19">
        <v>426800378</v>
      </c>
      <c r="F19">
        <v>0</v>
      </c>
      <c r="G19">
        <v>0</v>
      </c>
      <c r="H19">
        <f t="shared" si="0"/>
        <v>0</v>
      </c>
      <c r="I19">
        <v>206404170</v>
      </c>
      <c r="J19">
        <v>220396208</v>
      </c>
      <c r="K19" s="9" t="e">
        <f t="shared" si="1"/>
        <v>#DIV/0!</v>
      </c>
      <c r="L19" s="9">
        <f t="shared" si="2"/>
        <v>100</v>
      </c>
      <c r="M19">
        <v>100</v>
      </c>
      <c r="N19" s="5" t="s">
        <v>65</v>
      </c>
      <c r="O19" s="5" t="s">
        <v>65</v>
      </c>
      <c r="P19" t="str">
        <f t="shared" ca="1" si="3"/>
        <v>Finalizado hace 46301 días</v>
      </c>
      <c r="Q19" s="6">
        <f t="shared" ca="1" si="6"/>
        <v>-46301</v>
      </c>
      <c r="R19">
        <v>0</v>
      </c>
      <c r="S19">
        <f t="shared" si="4"/>
        <v>426800378</v>
      </c>
      <c r="T19">
        <f t="shared" si="5"/>
        <v>0</v>
      </c>
    </row>
    <row r="20" spans="1:20" x14ac:dyDescent="0.3">
      <c r="A20" t="s">
        <v>66</v>
      </c>
      <c r="B20" t="s">
        <v>67</v>
      </c>
      <c r="C20" t="s">
        <v>27</v>
      </c>
      <c r="D20">
        <v>778000000</v>
      </c>
      <c r="E20">
        <v>778000000</v>
      </c>
      <c r="F20">
        <v>0</v>
      </c>
      <c r="G20">
        <v>0</v>
      </c>
      <c r="H20">
        <f t="shared" si="0"/>
        <v>0</v>
      </c>
      <c r="I20">
        <v>0</v>
      </c>
      <c r="J20">
        <v>778000000</v>
      </c>
      <c r="K20" s="9" t="e">
        <f t="shared" si="1"/>
        <v>#DIV/0!</v>
      </c>
      <c r="L20" s="9">
        <f t="shared" si="2"/>
        <v>100</v>
      </c>
      <c r="M20">
        <v>100</v>
      </c>
      <c r="N20" s="5" t="s">
        <v>68</v>
      </c>
      <c r="O20" s="5" t="s">
        <v>69</v>
      </c>
      <c r="P20" t="str">
        <f t="shared" ca="1" si="3"/>
        <v>Finalizado hace 310 días</v>
      </c>
      <c r="Q20" s="6">
        <f t="shared" ca="1" si="6"/>
        <v>-310</v>
      </c>
      <c r="R20">
        <v>0</v>
      </c>
      <c r="S20">
        <f t="shared" si="4"/>
        <v>778000000</v>
      </c>
      <c r="T20">
        <f t="shared" si="5"/>
        <v>0</v>
      </c>
    </row>
    <row r="21" spans="1:20" x14ac:dyDescent="0.3">
      <c r="A21" t="s">
        <v>70</v>
      </c>
      <c r="B21" t="s">
        <v>71</v>
      </c>
      <c r="C21" t="s">
        <v>27</v>
      </c>
      <c r="D21">
        <v>26000000000</v>
      </c>
      <c r="E21">
        <v>26000000000</v>
      </c>
      <c r="F21">
        <v>0</v>
      </c>
      <c r="G21">
        <v>0</v>
      </c>
      <c r="H21">
        <f t="shared" si="0"/>
        <v>0</v>
      </c>
      <c r="I21">
        <v>21170185437</v>
      </c>
      <c r="J21">
        <v>4829814563</v>
      </c>
      <c r="K21" s="9" t="e">
        <f t="shared" si="1"/>
        <v>#DIV/0!</v>
      </c>
      <c r="L21" s="9">
        <f t="shared" si="2"/>
        <v>100</v>
      </c>
      <c r="M21">
        <v>100</v>
      </c>
      <c r="N21" s="5" t="s">
        <v>72</v>
      </c>
      <c r="O21" s="5" t="s">
        <v>73</v>
      </c>
      <c r="P21" t="str">
        <f t="shared" ca="1" si="3"/>
        <v>Finalizado hace 585 días</v>
      </c>
      <c r="Q21" s="6">
        <f t="shared" ca="1" si="6"/>
        <v>-585</v>
      </c>
      <c r="R21">
        <v>0</v>
      </c>
      <c r="S21">
        <f t="shared" si="4"/>
        <v>26000000000</v>
      </c>
      <c r="T21">
        <f t="shared" si="5"/>
        <v>0</v>
      </c>
    </row>
    <row r="22" spans="1:20" x14ac:dyDescent="0.3">
      <c r="A22" t="s">
        <v>74</v>
      </c>
      <c r="B22" t="s">
        <v>51</v>
      </c>
      <c r="C22" t="s">
        <v>27</v>
      </c>
      <c r="D22">
        <v>3000000000</v>
      </c>
      <c r="E22">
        <v>3000000000</v>
      </c>
      <c r="F22">
        <v>0</v>
      </c>
      <c r="G22">
        <v>0</v>
      </c>
      <c r="H22">
        <f t="shared" si="0"/>
        <v>0</v>
      </c>
      <c r="I22">
        <v>0</v>
      </c>
      <c r="J22">
        <v>0</v>
      </c>
      <c r="K22" s="9" t="e">
        <f t="shared" si="1"/>
        <v>#DIV/0!</v>
      </c>
      <c r="L22" s="9">
        <f t="shared" si="2"/>
        <v>100</v>
      </c>
      <c r="M22">
        <v>100</v>
      </c>
      <c r="N22" s="5" t="s">
        <v>75</v>
      </c>
      <c r="O22" s="5" t="s">
        <v>76</v>
      </c>
      <c r="P22" t="str">
        <f t="shared" ca="1" si="3"/>
        <v>Finalizado hace 402 días</v>
      </c>
      <c r="Q22" s="6">
        <f t="shared" ca="1" si="6"/>
        <v>-402</v>
      </c>
      <c r="R22">
        <v>0</v>
      </c>
      <c r="S22">
        <f t="shared" si="4"/>
        <v>3000000000</v>
      </c>
      <c r="T22">
        <f t="shared" si="5"/>
        <v>0</v>
      </c>
    </row>
    <row r="25" spans="1:20" x14ac:dyDescent="0.3">
      <c r="K25" s="8"/>
    </row>
    <row r="26" spans="1:20" x14ac:dyDescent="0.3">
      <c r="G26" s="7"/>
    </row>
    <row r="27" spans="1:20" x14ac:dyDescent="0.3">
      <c r="D27" s="1"/>
    </row>
    <row r="28" spans="1:20" x14ac:dyDescent="0.3">
      <c r="D28" s="1"/>
    </row>
    <row r="31" spans="1:20" x14ac:dyDescent="0.3">
      <c r="Q31" s="4"/>
      <c r="R31" s="4"/>
    </row>
    <row r="32" spans="1:20" x14ac:dyDescent="0.3">
      <c r="Q32" s="4"/>
    </row>
    <row r="33" spans="17:17" x14ac:dyDescent="0.3">
      <c r="Q33" s="4"/>
    </row>
  </sheetData>
  <pageMargins left="0.7" right="0.7" top="0.75" bottom="0.75" header="0.3" footer="0.3"/>
  <pageSetup orientation="portrait" horizontalDpi="200" verticalDpi="200" r:id="rId1"/>
  <ignoredErrors>
    <ignoredError sqref="A1:T1 A11:G13 A19:G22 E17:F17 A15:G16 I14:J14 A7:G8 A5:D5 G5 I5:J5 M5:O5 A4:G4 A2:D2 A3:G3 G2 J2 R2 R10:R13 R18:R22 R15:R16 R6:R8 R5 R4 R3 B18:D18 G18 I18:J18 N18:O18 A10:D10 O10 A6:G6 I9:J9 I17:J17 M14 M9 M11:O13 M19:O22 M15:O16 M7:O8 M4:O4 M3:O3 M6 M17 I11:J13 I19:J22 I15:J16 I7:J8 I4:J4 I3:J3 I10:J10 I6:J6 F10:G1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1"/>
  <sheetViews>
    <sheetView topLeftCell="A7" workbookViewId="0">
      <selection activeCell="D18" sqref="D18"/>
    </sheetView>
  </sheetViews>
  <sheetFormatPr baseColWidth="10" defaultRowHeight="15.6" x14ac:dyDescent="0.3"/>
  <cols>
    <col min="1" max="1" width="46.796875" customWidth="1"/>
    <col min="2" max="2" width="55.796875" customWidth="1"/>
    <col min="3" max="3" width="10.796875" customWidth="1"/>
    <col min="4" max="5" width="14.796875" customWidth="1"/>
  </cols>
  <sheetData>
    <row r="1" spans="1:5" x14ac:dyDescent="0.3">
      <c r="A1" t="s">
        <v>77</v>
      </c>
      <c r="B1" t="s">
        <v>78</v>
      </c>
      <c r="C1" t="s">
        <v>79</v>
      </c>
      <c r="D1" t="s">
        <v>13</v>
      </c>
      <c r="E1" t="s">
        <v>14</v>
      </c>
    </row>
    <row r="2" spans="1:5" x14ac:dyDescent="0.3">
      <c r="A2" t="s">
        <v>20</v>
      </c>
      <c r="B2" t="s">
        <v>80</v>
      </c>
      <c r="C2">
        <v>0.99</v>
      </c>
      <c r="D2" s="5" t="s">
        <v>23</v>
      </c>
      <c r="E2" s="5" t="s">
        <v>81</v>
      </c>
    </row>
    <row r="3" spans="1:5" x14ac:dyDescent="0.3">
      <c r="A3" t="s">
        <v>20</v>
      </c>
      <c r="B3" t="s">
        <v>82</v>
      </c>
      <c r="C3">
        <v>0.99</v>
      </c>
      <c r="D3" s="5" t="s">
        <v>83</v>
      </c>
      <c r="E3" s="5" t="s">
        <v>84</v>
      </c>
    </row>
    <row r="4" spans="1:5" x14ac:dyDescent="0.3">
      <c r="A4" t="s">
        <v>20</v>
      </c>
      <c r="B4" t="s">
        <v>85</v>
      </c>
      <c r="C4">
        <v>1</v>
      </c>
      <c r="D4" s="5" t="s">
        <v>86</v>
      </c>
      <c r="E4" s="5" t="s">
        <v>87</v>
      </c>
    </row>
    <row r="5" spans="1:5" x14ac:dyDescent="0.3">
      <c r="A5" t="s">
        <v>20</v>
      </c>
      <c r="B5" t="s">
        <v>88</v>
      </c>
      <c r="C5">
        <v>0.99</v>
      </c>
      <c r="D5" s="5" t="s">
        <v>89</v>
      </c>
      <c r="E5" s="5" t="s">
        <v>90</v>
      </c>
    </row>
    <row r="6" spans="1:5" x14ac:dyDescent="0.3">
      <c r="A6" t="s">
        <v>20</v>
      </c>
      <c r="B6" t="s">
        <v>91</v>
      </c>
      <c r="C6">
        <v>1</v>
      </c>
      <c r="D6" s="5" t="s">
        <v>92</v>
      </c>
      <c r="E6" s="5" t="s">
        <v>93</v>
      </c>
    </row>
    <row r="7" spans="1:5" x14ac:dyDescent="0.3">
      <c r="A7" t="s">
        <v>20</v>
      </c>
      <c r="B7" t="s">
        <v>94</v>
      </c>
      <c r="C7">
        <v>0.72</v>
      </c>
      <c r="D7" s="5" t="s">
        <v>95</v>
      </c>
      <c r="E7" s="5" t="s">
        <v>96</v>
      </c>
    </row>
    <row r="8" spans="1:5" x14ac:dyDescent="0.3">
      <c r="A8" t="s">
        <v>20</v>
      </c>
      <c r="B8" t="s">
        <v>97</v>
      </c>
      <c r="C8">
        <v>0.69</v>
      </c>
      <c r="D8" s="5" t="s">
        <v>95</v>
      </c>
      <c r="E8" s="5" t="s">
        <v>96</v>
      </c>
    </row>
    <row r="9" spans="1:5" x14ac:dyDescent="0.3">
      <c r="A9" t="s">
        <v>20</v>
      </c>
      <c r="B9" t="s">
        <v>98</v>
      </c>
      <c r="C9">
        <v>0.44</v>
      </c>
      <c r="D9" s="5" t="s">
        <v>99</v>
      </c>
      <c r="E9" s="5" t="s">
        <v>24</v>
      </c>
    </row>
    <row r="10" spans="1:5" x14ac:dyDescent="0.3">
      <c r="A10" t="s">
        <v>20</v>
      </c>
      <c r="B10" t="s">
        <v>100</v>
      </c>
      <c r="C10">
        <v>0</v>
      </c>
      <c r="D10" s="5" t="s">
        <v>61</v>
      </c>
      <c r="E10" s="5" t="s">
        <v>24</v>
      </c>
    </row>
    <row r="11" spans="1:5" x14ac:dyDescent="0.3">
      <c r="A11" t="s">
        <v>20</v>
      </c>
      <c r="B11" t="s">
        <v>101</v>
      </c>
      <c r="C11">
        <v>0</v>
      </c>
      <c r="D11" s="5" t="s">
        <v>102</v>
      </c>
      <c r="E11" s="5" t="s">
        <v>103</v>
      </c>
    </row>
    <row r="12" spans="1:5" x14ac:dyDescent="0.3">
      <c r="A12" t="s">
        <v>50</v>
      </c>
      <c r="B12" t="s">
        <v>65</v>
      </c>
      <c r="C12">
        <v>0</v>
      </c>
      <c r="D12" s="5" t="s">
        <v>104</v>
      </c>
      <c r="E12" s="5" t="s">
        <v>104</v>
      </c>
    </row>
    <row r="13" spans="1:5" x14ac:dyDescent="0.3">
      <c r="A13" t="s">
        <v>53</v>
      </c>
      <c r="B13" t="s">
        <v>65</v>
      </c>
      <c r="C13">
        <v>0</v>
      </c>
      <c r="D13" s="5" t="s">
        <v>104</v>
      </c>
      <c r="E13" s="5" t="s">
        <v>104</v>
      </c>
    </row>
    <row r="14" spans="1:5" x14ac:dyDescent="0.3">
      <c r="A14" t="s">
        <v>54</v>
      </c>
      <c r="B14" t="s">
        <v>65</v>
      </c>
      <c r="C14">
        <v>0</v>
      </c>
      <c r="D14" s="5" t="s">
        <v>104</v>
      </c>
      <c r="E14" s="5" t="s">
        <v>104</v>
      </c>
    </row>
    <row r="15" spans="1:5" x14ac:dyDescent="0.3">
      <c r="A15" t="s">
        <v>55</v>
      </c>
      <c r="B15" t="s">
        <v>65</v>
      </c>
      <c r="C15">
        <v>0</v>
      </c>
      <c r="D15" s="5" t="s">
        <v>104</v>
      </c>
      <c r="E15" s="5" t="s">
        <v>104</v>
      </c>
    </row>
    <row r="16" spans="1:5" x14ac:dyDescent="0.3">
      <c r="A16" t="s">
        <v>56</v>
      </c>
      <c r="B16" t="s">
        <v>65</v>
      </c>
      <c r="C16">
        <v>0</v>
      </c>
      <c r="D16" s="5" t="s">
        <v>104</v>
      </c>
      <c r="E16" s="5" t="s">
        <v>104</v>
      </c>
    </row>
    <row r="17" spans="1:5" x14ac:dyDescent="0.3">
      <c r="A17" t="s">
        <v>57</v>
      </c>
      <c r="B17" t="s">
        <v>65</v>
      </c>
      <c r="C17">
        <v>0</v>
      </c>
      <c r="D17" s="5" t="s">
        <v>104</v>
      </c>
      <c r="E17" s="5" t="s">
        <v>104</v>
      </c>
    </row>
    <row r="18" spans="1:5" x14ac:dyDescent="0.3">
      <c r="A18" t="s">
        <v>58</v>
      </c>
      <c r="B18" t="s">
        <v>65</v>
      </c>
      <c r="C18">
        <v>0</v>
      </c>
      <c r="D18" s="5" t="s">
        <v>104</v>
      </c>
      <c r="E18" s="5" t="s">
        <v>104</v>
      </c>
    </row>
    <row r="19" spans="1:5" x14ac:dyDescent="0.3">
      <c r="A19" t="s">
        <v>59</v>
      </c>
      <c r="B19" t="s">
        <v>105</v>
      </c>
      <c r="C19">
        <v>0.626</v>
      </c>
      <c r="D19" s="5" t="s">
        <v>106</v>
      </c>
      <c r="E19" s="5" t="s">
        <v>62</v>
      </c>
    </row>
    <row r="20" spans="1:5" x14ac:dyDescent="0.3">
      <c r="A20" t="s">
        <v>59</v>
      </c>
      <c r="B20" t="s">
        <v>107</v>
      </c>
      <c r="C20">
        <v>0</v>
      </c>
      <c r="D20" s="5" t="s">
        <v>62</v>
      </c>
      <c r="E20" s="5" t="s">
        <v>108</v>
      </c>
    </row>
    <row r="21" spans="1:5" x14ac:dyDescent="0.3">
      <c r="A21" t="s">
        <v>176</v>
      </c>
      <c r="B21" t="s">
        <v>177</v>
      </c>
      <c r="D21" s="2">
        <v>46353</v>
      </c>
      <c r="E21" s="2">
        <v>46987</v>
      </c>
    </row>
    <row r="22" spans="1:5" x14ac:dyDescent="0.3">
      <c r="A22" t="s">
        <v>176</v>
      </c>
      <c r="B22" t="s">
        <v>178</v>
      </c>
      <c r="D22" s="2">
        <v>46751</v>
      </c>
      <c r="E22" s="2">
        <v>46765</v>
      </c>
    </row>
    <row r="23" spans="1:5" x14ac:dyDescent="0.3">
      <c r="A23" t="s">
        <v>176</v>
      </c>
      <c r="B23" t="s">
        <v>179</v>
      </c>
      <c r="D23" s="2">
        <v>46918</v>
      </c>
      <c r="E23" s="2">
        <v>46933</v>
      </c>
    </row>
    <row r="24" spans="1:5" x14ac:dyDescent="0.3">
      <c r="A24" t="s">
        <v>176</v>
      </c>
      <c r="B24" t="s">
        <v>180</v>
      </c>
      <c r="D24" s="2">
        <v>46869</v>
      </c>
      <c r="E24" s="2">
        <v>46987</v>
      </c>
    </row>
    <row r="25" spans="1:5" x14ac:dyDescent="0.3">
      <c r="A25" t="s">
        <v>176</v>
      </c>
      <c r="B25" t="s">
        <v>101</v>
      </c>
      <c r="D25" s="2">
        <v>47036</v>
      </c>
      <c r="E25" s="2">
        <v>47124</v>
      </c>
    </row>
    <row r="26" spans="1:5" x14ac:dyDescent="0.3">
      <c r="A26" t="s">
        <v>181</v>
      </c>
      <c r="B26" t="s">
        <v>182</v>
      </c>
      <c r="D26" s="2">
        <v>46393</v>
      </c>
      <c r="E26" s="2">
        <v>46422</v>
      </c>
    </row>
    <row r="27" spans="1:5" x14ac:dyDescent="0.3">
      <c r="A27" t="s">
        <v>181</v>
      </c>
      <c r="B27" t="s">
        <v>183</v>
      </c>
      <c r="D27" s="2">
        <v>46422</v>
      </c>
      <c r="E27" s="2">
        <v>46451</v>
      </c>
    </row>
    <row r="28" spans="1:5" x14ac:dyDescent="0.3">
      <c r="A28" t="s">
        <v>181</v>
      </c>
      <c r="B28" t="s">
        <v>184</v>
      </c>
      <c r="D28" s="2">
        <v>46728</v>
      </c>
      <c r="E28" s="2">
        <v>46410</v>
      </c>
    </row>
    <row r="29" spans="1:5" x14ac:dyDescent="0.3">
      <c r="A29" t="s">
        <v>181</v>
      </c>
      <c r="B29" t="s">
        <v>185</v>
      </c>
      <c r="D29" s="2">
        <v>46363</v>
      </c>
      <c r="E29" s="2">
        <v>46515</v>
      </c>
    </row>
    <row r="30" spans="1:5" x14ac:dyDescent="0.3">
      <c r="A30" t="s">
        <v>181</v>
      </c>
      <c r="B30" t="s">
        <v>186</v>
      </c>
      <c r="D30" s="2">
        <v>46491</v>
      </c>
      <c r="E30" s="2">
        <v>46515</v>
      </c>
    </row>
    <row r="31" spans="1:5" x14ac:dyDescent="0.3">
      <c r="A31" t="s">
        <v>181</v>
      </c>
      <c r="B31" t="s">
        <v>101</v>
      </c>
      <c r="D31" s="2">
        <v>46535</v>
      </c>
      <c r="E31" s="2">
        <v>46623</v>
      </c>
    </row>
    <row r="32" spans="1:5" x14ac:dyDescent="0.3">
      <c r="A32" t="s">
        <v>187</v>
      </c>
      <c r="B32" t="s">
        <v>188</v>
      </c>
      <c r="D32" s="2">
        <v>46382</v>
      </c>
      <c r="E32" s="2">
        <v>46736</v>
      </c>
    </row>
    <row r="33" spans="1:5" x14ac:dyDescent="0.3">
      <c r="A33" t="s">
        <v>187</v>
      </c>
      <c r="B33" t="s">
        <v>189</v>
      </c>
      <c r="D33" s="2">
        <v>46427</v>
      </c>
      <c r="E33" s="2">
        <v>46736</v>
      </c>
    </row>
    <row r="34" spans="1:5" x14ac:dyDescent="0.3">
      <c r="A34" t="s">
        <v>187</v>
      </c>
      <c r="B34" t="s">
        <v>190</v>
      </c>
      <c r="D34" s="2">
        <v>46515</v>
      </c>
      <c r="E34" s="2">
        <v>46736</v>
      </c>
    </row>
    <row r="35" spans="1:5" x14ac:dyDescent="0.3">
      <c r="A35" t="s">
        <v>187</v>
      </c>
      <c r="B35" t="s">
        <v>191</v>
      </c>
      <c r="D35" s="2">
        <v>46736</v>
      </c>
      <c r="E35" s="2">
        <v>46958</v>
      </c>
    </row>
    <row r="36" spans="1:5" x14ac:dyDescent="0.3">
      <c r="A36" t="s">
        <v>187</v>
      </c>
      <c r="B36" t="s">
        <v>101</v>
      </c>
      <c r="D36" s="2">
        <v>46987</v>
      </c>
      <c r="E36" s="2">
        <v>47075</v>
      </c>
    </row>
    <row r="37" spans="1:5" x14ac:dyDescent="0.3">
      <c r="A37" t="s">
        <v>192</v>
      </c>
      <c r="B37" t="s">
        <v>193</v>
      </c>
      <c r="C37">
        <v>1</v>
      </c>
      <c r="D37" s="2">
        <v>46116</v>
      </c>
      <c r="E37" s="2">
        <v>46199</v>
      </c>
    </row>
    <row r="38" spans="1:5" x14ac:dyDescent="0.3">
      <c r="A38" t="s">
        <v>192</v>
      </c>
      <c r="B38" t="s">
        <v>194</v>
      </c>
      <c r="C38">
        <v>0.96</v>
      </c>
      <c r="D38" s="2">
        <v>46116</v>
      </c>
      <c r="E38" s="2">
        <v>46235</v>
      </c>
    </row>
    <row r="39" spans="1:5" x14ac:dyDescent="0.3">
      <c r="A39" t="s">
        <v>192</v>
      </c>
      <c r="B39" t="s">
        <v>101</v>
      </c>
      <c r="C39">
        <v>0.8</v>
      </c>
      <c r="D39" s="2">
        <v>46235</v>
      </c>
      <c r="E39" s="2">
        <v>46356</v>
      </c>
    </row>
    <row r="40" spans="1:5" x14ac:dyDescent="0.3">
      <c r="A40" t="s">
        <v>198</v>
      </c>
      <c r="B40" t="s">
        <v>197</v>
      </c>
      <c r="C40">
        <v>0.5</v>
      </c>
      <c r="D40" s="2">
        <v>45744</v>
      </c>
      <c r="E40" s="2">
        <v>46751</v>
      </c>
    </row>
    <row r="41" spans="1:5" x14ac:dyDescent="0.3">
      <c r="A41" t="s">
        <v>198</v>
      </c>
      <c r="B41" t="s">
        <v>101</v>
      </c>
      <c r="C41">
        <v>0.5</v>
      </c>
      <c r="D41" s="2">
        <v>46417</v>
      </c>
      <c r="E41" s="2">
        <v>46507</v>
      </c>
    </row>
  </sheetData>
  <pageMargins left="0.7" right="0.7" top="0.75" bottom="0.75" header="0.3" footer="0.3"/>
  <pageSetup orientation="portrait" horizontalDpi="200" verticalDpi="200" r:id="rId1"/>
  <ignoredErrors>
    <ignoredError sqref="A1:E1 A12:E18 A2:B11 D2:E11 A20:E20 A19:B19 D19:E19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0"/>
  <sheetViews>
    <sheetView workbookViewId="0"/>
  </sheetViews>
  <sheetFormatPr baseColWidth="10" defaultRowHeight="15.6" x14ac:dyDescent="0.3"/>
  <cols>
    <col min="1" max="1" width="46.796875" customWidth="1"/>
    <col min="2" max="2" width="18.796875" customWidth="1"/>
    <col min="3" max="3" width="12.796875" customWidth="1"/>
    <col min="4" max="4" width="22.796875" customWidth="1"/>
    <col min="5" max="5" width="24.796875" customWidth="1"/>
    <col min="6" max="6" width="22.796875" customWidth="1"/>
    <col min="7" max="7" width="20.796875" customWidth="1"/>
    <col min="8" max="8" width="28.796875" customWidth="1"/>
    <col min="9" max="9" width="22.796875" customWidth="1"/>
    <col min="10" max="10" width="24.796875" customWidth="1"/>
    <col min="11" max="11" width="46.796875" customWidth="1"/>
    <col min="12" max="15" width="12.796875" customWidth="1"/>
  </cols>
  <sheetData>
    <row r="1" spans="1:15" x14ac:dyDescent="0.3">
      <c r="A1" t="s">
        <v>0</v>
      </c>
      <c r="B1" t="s">
        <v>1</v>
      </c>
      <c r="C1" t="s">
        <v>109</v>
      </c>
      <c r="D1" t="s">
        <v>110</v>
      </c>
      <c r="E1" t="s">
        <v>111</v>
      </c>
      <c r="F1" t="s">
        <v>112</v>
      </c>
      <c r="G1" t="s">
        <v>113</v>
      </c>
      <c r="H1" t="s">
        <v>114</v>
      </c>
      <c r="I1" t="s">
        <v>115</v>
      </c>
      <c r="J1" t="s">
        <v>116</v>
      </c>
      <c r="K1" t="s">
        <v>117</v>
      </c>
      <c r="L1" t="s">
        <v>118</v>
      </c>
      <c r="M1" t="s">
        <v>119</v>
      </c>
      <c r="N1" t="s">
        <v>120</v>
      </c>
      <c r="O1" t="s">
        <v>121</v>
      </c>
    </row>
    <row r="2" spans="1:15" x14ac:dyDescent="0.3">
      <c r="A2" t="s">
        <v>20</v>
      </c>
      <c r="B2" t="s">
        <v>21</v>
      </c>
      <c r="C2" t="s">
        <v>122</v>
      </c>
      <c r="D2" t="s">
        <v>123</v>
      </c>
      <c r="E2" t="s">
        <v>65</v>
      </c>
      <c r="F2" t="s">
        <v>52</v>
      </c>
      <c r="G2" t="s">
        <v>52</v>
      </c>
      <c r="H2" t="s">
        <v>52</v>
      </c>
      <c r="I2" t="s">
        <v>52</v>
      </c>
      <c r="J2" t="s">
        <v>52</v>
      </c>
      <c r="K2" t="s">
        <v>124</v>
      </c>
      <c r="L2" t="s">
        <v>125</v>
      </c>
      <c r="M2" t="s">
        <v>52</v>
      </c>
      <c r="N2" t="s">
        <v>52</v>
      </c>
      <c r="O2" t="s">
        <v>52</v>
      </c>
    </row>
    <row r="3" spans="1:15" x14ac:dyDescent="0.3">
      <c r="A3" t="s">
        <v>20</v>
      </c>
      <c r="B3" t="s">
        <v>21</v>
      </c>
      <c r="C3" t="s">
        <v>122</v>
      </c>
      <c r="D3" t="s">
        <v>126</v>
      </c>
      <c r="E3" t="s">
        <v>127</v>
      </c>
      <c r="F3" t="s">
        <v>52</v>
      </c>
      <c r="G3" t="s">
        <v>52</v>
      </c>
      <c r="H3" t="s">
        <v>128</v>
      </c>
      <c r="I3" t="s">
        <v>129</v>
      </c>
      <c r="J3" t="s">
        <v>130</v>
      </c>
      <c r="K3" t="s">
        <v>52</v>
      </c>
      <c r="L3" t="s">
        <v>131</v>
      </c>
      <c r="M3" t="s">
        <v>52</v>
      </c>
      <c r="N3" t="s">
        <v>52</v>
      </c>
      <c r="O3" t="s">
        <v>52</v>
      </c>
    </row>
    <row r="4" spans="1:15" x14ac:dyDescent="0.3">
      <c r="A4" t="s">
        <v>20</v>
      </c>
      <c r="B4" t="s">
        <v>21</v>
      </c>
      <c r="C4" t="s">
        <v>122</v>
      </c>
      <c r="D4" t="s">
        <v>126</v>
      </c>
      <c r="E4" t="s">
        <v>127</v>
      </c>
      <c r="F4" t="s">
        <v>52</v>
      </c>
      <c r="G4" t="s">
        <v>52</v>
      </c>
      <c r="H4" t="s">
        <v>132</v>
      </c>
      <c r="I4" t="s">
        <v>130</v>
      </c>
      <c r="J4" t="s">
        <v>133</v>
      </c>
      <c r="K4" t="s">
        <v>52</v>
      </c>
      <c r="L4" t="s">
        <v>134</v>
      </c>
      <c r="M4" t="s">
        <v>52</v>
      </c>
      <c r="N4" t="s">
        <v>52</v>
      </c>
      <c r="O4" t="s">
        <v>52</v>
      </c>
    </row>
    <row r="5" spans="1:15" x14ac:dyDescent="0.3">
      <c r="A5" t="s">
        <v>25</v>
      </c>
      <c r="B5" t="s">
        <v>26</v>
      </c>
      <c r="C5" t="s">
        <v>122</v>
      </c>
      <c r="D5" t="s">
        <v>135</v>
      </c>
      <c r="E5" t="s">
        <v>52</v>
      </c>
      <c r="F5" t="s">
        <v>29</v>
      </c>
      <c r="G5" t="s">
        <v>52</v>
      </c>
      <c r="H5" t="s">
        <v>52</v>
      </c>
      <c r="I5" t="s">
        <v>52</v>
      </c>
      <c r="J5" t="s">
        <v>52</v>
      </c>
      <c r="K5" t="s">
        <v>52</v>
      </c>
      <c r="L5" t="s">
        <v>131</v>
      </c>
      <c r="M5" t="s">
        <v>52</v>
      </c>
      <c r="N5" t="s">
        <v>52</v>
      </c>
      <c r="O5" t="s">
        <v>52</v>
      </c>
    </row>
    <row r="6" spans="1:15" x14ac:dyDescent="0.3">
      <c r="A6" t="s">
        <v>34</v>
      </c>
      <c r="B6" t="s">
        <v>35</v>
      </c>
      <c r="C6" t="s">
        <v>122</v>
      </c>
      <c r="D6" t="s">
        <v>136</v>
      </c>
      <c r="E6" t="s">
        <v>137</v>
      </c>
      <c r="F6" t="s">
        <v>52</v>
      </c>
      <c r="G6" t="s">
        <v>52</v>
      </c>
      <c r="H6" t="s">
        <v>138</v>
      </c>
      <c r="I6" t="s">
        <v>52</v>
      </c>
      <c r="J6" t="s">
        <v>52</v>
      </c>
      <c r="K6" t="s">
        <v>52</v>
      </c>
      <c r="L6" t="s">
        <v>131</v>
      </c>
      <c r="M6" t="s">
        <v>52</v>
      </c>
      <c r="N6" t="s">
        <v>52</v>
      </c>
      <c r="O6" t="s">
        <v>52</v>
      </c>
    </row>
    <row r="7" spans="1:15" x14ac:dyDescent="0.3">
      <c r="A7" t="s">
        <v>34</v>
      </c>
      <c r="B7" t="s">
        <v>35</v>
      </c>
      <c r="C7" t="s">
        <v>122</v>
      </c>
      <c r="D7" t="s">
        <v>135</v>
      </c>
      <c r="E7" t="s">
        <v>52</v>
      </c>
      <c r="F7" t="s">
        <v>36</v>
      </c>
      <c r="G7" t="s">
        <v>52</v>
      </c>
      <c r="H7" t="s">
        <v>52</v>
      </c>
      <c r="I7" t="s">
        <v>52</v>
      </c>
      <c r="J7" t="s">
        <v>52</v>
      </c>
      <c r="K7" t="s">
        <v>52</v>
      </c>
      <c r="L7" t="s">
        <v>131</v>
      </c>
      <c r="M7" t="s">
        <v>52</v>
      </c>
      <c r="N7" t="s">
        <v>52</v>
      </c>
      <c r="O7" t="s">
        <v>52</v>
      </c>
    </row>
    <row r="8" spans="1:15" x14ac:dyDescent="0.3">
      <c r="A8" t="s">
        <v>39</v>
      </c>
      <c r="B8" t="s">
        <v>40</v>
      </c>
      <c r="C8" t="s">
        <v>122</v>
      </c>
      <c r="D8" t="s">
        <v>135</v>
      </c>
      <c r="E8" t="s">
        <v>52</v>
      </c>
      <c r="F8" t="s">
        <v>42</v>
      </c>
      <c r="G8" t="s">
        <v>52</v>
      </c>
      <c r="H8" t="s">
        <v>52</v>
      </c>
      <c r="I8" t="s">
        <v>52</v>
      </c>
      <c r="J8" t="s">
        <v>52</v>
      </c>
      <c r="K8" t="s">
        <v>52</v>
      </c>
      <c r="L8" t="s">
        <v>134</v>
      </c>
      <c r="M8" t="s">
        <v>52</v>
      </c>
      <c r="N8" t="s">
        <v>52</v>
      </c>
      <c r="O8" t="s">
        <v>52</v>
      </c>
    </row>
    <row r="9" spans="1:15" x14ac:dyDescent="0.3">
      <c r="A9" t="s">
        <v>43</v>
      </c>
      <c r="B9" t="s">
        <v>44</v>
      </c>
      <c r="C9" t="s">
        <v>122</v>
      </c>
      <c r="D9" t="s">
        <v>135</v>
      </c>
      <c r="E9" t="s">
        <v>52</v>
      </c>
      <c r="F9" t="s">
        <v>42</v>
      </c>
      <c r="G9" t="s">
        <v>52</v>
      </c>
      <c r="H9" t="s">
        <v>52</v>
      </c>
      <c r="I9" t="s">
        <v>52</v>
      </c>
      <c r="J9" t="s">
        <v>52</v>
      </c>
      <c r="K9" t="s">
        <v>52</v>
      </c>
      <c r="L9" t="s">
        <v>134</v>
      </c>
      <c r="M9" t="s">
        <v>52</v>
      </c>
      <c r="N9" t="s">
        <v>52</v>
      </c>
      <c r="O9" t="s">
        <v>52</v>
      </c>
    </row>
    <row r="10" spans="1:15" x14ac:dyDescent="0.3">
      <c r="A10" t="s">
        <v>139</v>
      </c>
      <c r="B10" t="s">
        <v>48</v>
      </c>
      <c r="C10" t="s">
        <v>122</v>
      </c>
      <c r="D10" t="s">
        <v>135</v>
      </c>
      <c r="E10" t="s">
        <v>52</v>
      </c>
      <c r="F10" t="s">
        <v>49</v>
      </c>
      <c r="G10" t="s">
        <v>52</v>
      </c>
      <c r="H10" t="s">
        <v>52</v>
      </c>
      <c r="I10" t="s">
        <v>52</v>
      </c>
      <c r="J10" t="s">
        <v>52</v>
      </c>
      <c r="K10" t="s">
        <v>52</v>
      </c>
      <c r="L10" t="s">
        <v>134</v>
      </c>
      <c r="M10" t="s">
        <v>52</v>
      </c>
      <c r="N10" t="s">
        <v>52</v>
      </c>
      <c r="O10" t="s">
        <v>52</v>
      </c>
    </row>
  </sheetData>
  <pageMargins left="0.7" right="0.7" top="0.75" bottom="0.75" header="0.3" footer="0.3"/>
  <ignoredErrors>
    <ignoredError sqref="A1:O10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3"/>
  <sheetViews>
    <sheetView workbookViewId="0">
      <selection activeCell="D25" sqref="D25"/>
    </sheetView>
  </sheetViews>
  <sheetFormatPr baseColWidth="10" defaultRowHeight="15.6" x14ac:dyDescent="0.3"/>
  <cols>
    <col min="1" max="1" width="25.796875" customWidth="1"/>
    <col min="2" max="2" width="50.796875" customWidth="1"/>
    <col min="3" max="3" width="40.796875" customWidth="1"/>
  </cols>
  <sheetData>
    <row r="1" spans="1:3" x14ac:dyDescent="0.3">
      <c r="A1" t="s">
        <v>140</v>
      </c>
    </row>
    <row r="2" spans="1:3" x14ac:dyDescent="0.3">
      <c r="A2" t="s">
        <v>52</v>
      </c>
    </row>
    <row r="3" spans="1:3" x14ac:dyDescent="0.3">
      <c r="A3" t="s">
        <v>141</v>
      </c>
    </row>
    <row r="4" spans="1:3" x14ac:dyDescent="0.3">
      <c r="A4" t="s">
        <v>52</v>
      </c>
    </row>
    <row r="5" spans="1:3" x14ac:dyDescent="0.3">
      <c r="A5" t="s">
        <v>142</v>
      </c>
      <c r="B5" t="s">
        <v>143</v>
      </c>
      <c r="C5" t="s">
        <v>144</v>
      </c>
    </row>
    <row r="6" spans="1:3" x14ac:dyDescent="0.3">
      <c r="A6" t="s">
        <v>0</v>
      </c>
      <c r="B6" t="s">
        <v>145</v>
      </c>
      <c r="C6" t="s">
        <v>146</v>
      </c>
    </row>
    <row r="7" spans="1:3" x14ac:dyDescent="0.3">
      <c r="A7" t="s">
        <v>1</v>
      </c>
      <c r="B7" t="s">
        <v>147</v>
      </c>
      <c r="C7" t="s">
        <v>52</v>
      </c>
    </row>
    <row r="8" spans="1:3" x14ac:dyDescent="0.3">
      <c r="A8" t="s">
        <v>2</v>
      </c>
      <c r="B8" t="s">
        <v>148</v>
      </c>
      <c r="C8" t="s">
        <v>149</v>
      </c>
    </row>
    <row r="9" spans="1:3" x14ac:dyDescent="0.3">
      <c r="A9" t="s">
        <v>3</v>
      </c>
      <c r="B9" t="s">
        <v>150</v>
      </c>
      <c r="C9" t="s">
        <v>151</v>
      </c>
    </row>
    <row r="10" spans="1:3" x14ac:dyDescent="0.3">
      <c r="A10" t="s">
        <v>4</v>
      </c>
      <c r="B10" t="s">
        <v>152</v>
      </c>
      <c r="C10" t="s">
        <v>52</v>
      </c>
    </row>
    <row r="11" spans="1:3" x14ac:dyDescent="0.3">
      <c r="A11" t="s">
        <v>5</v>
      </c>
      <c r="B11" t="s">
        <v>153</v>
      </c>
      <c r="C11" t="s">
        <v>52</v>
      </c>
    </row>
    <row r="12" spans="1:3" x14ac:dyDescent="0.3">
      <c r="A12" t="s">
        <v>6</v>
      </c>
      <c r="B12" t="s">
        <v>154</v>
      </c>
      <c r="C12" t="s">
        <v>52</v>
      </c>
    </row>
    <row r="13" spans="1:3" x14ac:dyDescent="0.3">
      <c r="A13" t="s">
        <v>7</v>
      </c>
      <c r="B13" t="s">
        <v>155</v>
      </c>
      <c r="C13" t="s">
        <v>52</v>
      </c>
    </row>
    <row r="14" spans="1:3" x14ac:dyDescent="0.3">
      <c r="A14" t="s">
        <v>8</v>
      </c>
      <c r="B14" t="s">
        <v>156</v>
      </c>
      <c r="C14" t="s">
        <v>52</v>
      </c>
    </row>
    <row r="15" spans="1:3" x14ac:dyDescent="0.3">
      <c r="A15" t="s">
        <v>9</v>
      </c>
      <c r="B15" t="s">
        <v>157</v>
      </c>
      <c r="C15" t="s">
        <v>52</v>
      </c>
    </row>
    <row r="16" spans="1:3" x14ac:dyDescent="0.3">
      <c r="A16" t="s">
        <v>10</v>
      </c>
      <c r="B16" t="s">
        <v>158</v>
      </c>
      <c r="C16" t="s">
        <v>159</v>
      </c>
    </row>
    <row r="17" spans="1:3" x14ac:dyDescent="0.3">
      <c r="A17" t="s">
        <v>11</v>
      </c>
      <c r="B17" t="s">
        <v>160</v>
      </c>
      <c r="C17" t="s">
        <v>159</v>
      </c>
    </row>
    <row r="18" spans="1:3" x14ac:dyDescent="0.3">
      <c r="A18" t="s">
        <v>12</v>
      </c>
      <c r="B18" t="s">
        <v>161</v>
      </c>
      <c r="C18" t="s">
        <v>159</v>
      </c>
    </row>
    <row r="19" spans="1:3" x14ac:dyDescent="0.3">
      <c r="A19" t="s">
        <v>13</v>
      </c>
      <c r="B19" t="s">
        <v>162</v>
      </c>
      <c r="C19" t="s">
        <v>163</v>
      </c>
    </row>
    <row r="20" spans="1:3" x14ac:dyDescent="0.3">
      <c r="A20" t="s">
        <v>14</v>
      </c>
      <c r="B20" t="s">
        <v>164</v>
      </c>
      <c r="C20" t="s">
        <v>163</v>
      </c>
    </row>
    <row r="21" spans="1:3" x14ac:dyDescent="0.3">
      <c r="A21" t="s">
        <v>15</v>
      </c>
      <c r="B21" t="s">
        <v>165</v>
      </c>
      <c r="C21" t="s">
        <v>166</v>
      </c>
    </row>
    <row r="22" spans="1:3" x14ac:dyDescent="0.3">
      <c r="A22" t="s">
        <v>16</v>
      </c>
      <c r="B22" t="s">
        <v>167</v>
      </c>
      <c r="C22" t="s">
        <v>52</v>
      </c>
    </row>
    <row r="23" spans="1:3" x14ac:dyDescent="0.3">
      <c r="A23" t="s">
        <v>17</v>
      </c>
      <c r="B23" t="s">
        <v>168</v>
      </c>
      <c r="C23" t="s">
        <v>52</v>
      </c>
    </row>
    <row r="24" spans="1:3" x14ac:dyDescent="0.3">
      <c r="A24" t="s">
        <v>18</v>
      </c>
      <c r="B24" t="s">
        <v>169</v>
      </c>
      <c r="C24" t="s">
        <v>52</v>
      </c>
    </row>
    <row r="25" spans="1:3" x14ac:dyDescent="0.3">
      <c r="A25" t="s">
        <v>19</v>
      </c>
      <c r="B25" t="s">
        <v>170</v>
      </c>
      <c r="C25" t="s">
        <v>52</v>
      </c>
    </row>
    <row r="26" spans="1:3" x14ac:dyDescent="0.3">
      <c r="A26" t="s">
        <v>52</v>
      </c>
    </row>
    <row r="27" spans="1:3" x14ac:dyDescent="0.3">
      <c r="A27" t="s">
        <v>171</v>
      </c>
    </row>
    <row r="28" spans="1:3" x14ac:dyDescent="0.3">
      <c r="A28" t="s">
        <v>52</v>
      </c>
    </row>
    <row r="29" spans="1:3" x14ac:dyDescent="0.3">
      <c r="A29" t="s">
        <v>172</v>
      </c>
    </row>
    <row r="30" spans="1:3" x14ac:dyDescent="0.3">
      <c r="A30" t="s">
        <v>173</v>
      </c>
    </row>
    <row r="31" spans="1:3" x14ac:dyDescent="0.3">
      <c r="A31" t="s">
        <v>174</v>
      </c>
    </row>
    <row r="32" spans="1:3" x14ac:dyDescent="0.3">
      <c r="A32" t="s">
        <v>52</v>
      </c>
    </row>
    <row r="33" spans="1:1" x14ac:dyDescent="0.3">
      <c r="A33" t="s">
        <v>175</v>
      </c>
    </row>
  </sheetData>
  <pageMargins left="0.7" right="0.7" top="0.75" bottom="0.75" header="0.3" footer="0.3"/>
  <ignoredErrors>
    <ignoredError sqref="A1:C33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E78E784CE63B443834FBFF8A36EF5B9" ma:contentTypeVersion="15" ma:contentTypeDescription="Crear nuevo documento." ma:contentTypeScope="" ma:versionID="78a1ee2dd28d73fe7e4be10b368ab933">
  <xsd:schema xmlns:xsd="http://www.w3.org/2001/XMLSchema" xmlns:xs="http://www.w3.org/2001/XMLSchema" xmlns:p="http://schemas.microsoft.com/office/2006/metadata/properties" xmlns:ns2="1b2e05c7-f74e-489c-9b0e-4a2ceb37ccd9" xmlns:ns3="f3bd45c0-8d65-4cae-8821-0b25f52f9199" targetNamespace="http://schemas.microsoft.com/office/2006/metadata/properties" ma:root="true" ma:fieldsID="f99440221b6cce3f2ade21f83c16897b" ns2:_="" ns3:_="">
    <xsd:import namespace="1b2e05c7-f74e-489c-9b0e-4a2ceb37ccd9"/>
    <xsd:import namespace="f3bd45c0-8d65-4cae-8821-0b25f52f91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2e05c7-f74e-489c-9b0e-4a2ceb37ccd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24e1dc9d-e9ef-4ccd-a0d4-55616b499cb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bd45c0-8d65-4cae-8821-0b25f52f9199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d7fda41b-00a7-4781-8ae0-f31f700a7a80}" ma:internalName="TaxCatchAll" ma:showField="CatchAllData" ma:web="f3bd45c0-8d65-4cae-8821-0b25f52f91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3bd45c0-8d65-4cae-8821-0b25f52f9199" xsi:nil="true"/>
    <lcf76f155ced4ddcb4097134ff3c332f xmlns="1b2e05c7-f74e-489c-9b0e-4a2ceb37ccd9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5567F2F-E200-4E16-BD18-C345B2D8881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2e05c7-f74e-489c-9b0e-4a2ceb37ccd9"/>
    <ds:schemaRef ds:uri="f3bd45c0-8d65-4cae-8821-0b25f52f919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34EF02D-AAF5-4670-AD0B-AB44E565028E}">
  <ds:schemaRefs>
    <ds:schemaRef ds:uri="http://schemas.microsoft.com/office/2006/metadata/properties"/>
    <ds:schemaRef ds:uri="http://schemas.microsoft.com/office/infopath/2007/PartnerControls"/>
    <ds:schemaRef ds:uri="f3bd45c0-8d65-4cae-8821-0b25f52f9199"/>
    <ds:schemaRef ds:uri="1b2e05c7-f74e-489c-9b0e-4a2ceb37ccd9"/>
  </ds:schemaRefs>
</ds:datastoreItem>
</file>

<file path=customXml/itemProps3.xml><?xml version="1.0" encoding="utf-8"?>
<ds:datastoreItem xmlns:ds="http://schemas.openxmlformats.org/officeDocument/2006/customXml" ds:itemID="{4ED8D8F6-2E4F-427D-8BDE-8DB214A0277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PROYECTOS</vt:lpstr>
      <vt:lpstr>ALCANCES</vt:lpstr>
      <vt:lpstr>MODIFICACIONES</vt:lpstr>
      <vt:lpstr>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Cesar Fontalvo Velez</dc:creator>
  <cp:lastModifiedBy>Paulo Cesar Fontalvo Velez</cp:lastModifiedBy>
  <dcterms:created xsi:type="dcterms:W3CDTF">2026-07-28T19:13:00Z</dcterms:created>
  <dcterms:modified xsi:type="dcterms:W3CDTF">2026-10-06T15:57:08Z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0x010100FE78E784CE63B443834FBFF8A36EF5B9</vt:lpwstr>
  </property>
  <property fmtid="{D5CDD505-2E9C-101B-9397-08002B2CF9AE}" pid="3" name="MediaServiceImageTags">
    <vt:lpwstr/>
  </property>
</Properties>
</file>